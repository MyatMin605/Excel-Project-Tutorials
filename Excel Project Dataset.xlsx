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6AA02C02-C8C1-4073-A137-075474413583}"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<sst xmlns="http://schemas.openxmlformats.org/spreadsheetml/2006/main" count="16265" uniqueCount="50">
  <si>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</si>
  <si>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</si>
  <si>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</si>
  <si>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</si>
  <si>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</si>
  <si>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</si>
  <si>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</si>
  <si>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</si>
  <si>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</si>
  <si>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</si>
  <si>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</si>
  <si>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</si>
  <si>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</si>
  <si>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</si>
  <si>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</si>
  <si>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</si>
  <si>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</si>
  <si>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</si>
  <si>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</si>
  <si>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</si>
  <si>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</si>
  <si>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</si>
  <si>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</si>
  <si>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</si>
  <si>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</si>
  <si>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</si>
  <si>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</si>
  <si>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</si>
  <si>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</si>
  <si>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</si>
  <si>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</si>
  <si>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</si>
  <si>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</si>
  <si>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</si>
  <si>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</si>
  <si>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</si>
  <si>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</si>
  <si>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</si>
  <si>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</si>
  <si>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</si>
  <si>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</si>
  <si>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</si>
  <si>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</si>
  <si>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</si>
  <si>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</si>
  <si>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</si>
  <si>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 xml:space="preserve"> More Than 10 Miles </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</si>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</sst>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55"/>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66666.666666666672</c:v>
                </c:pt>
                <c:pt idx="1">
                  <c:v>22500</c:v>
                </c:pt>
              </c:numCache>
            </c:numRef>
          </c:val>
          <c:extLst>
            <c:ext xmlns:c16="http://schemas.microsoft.com/office/drawing/2014/chart" uri="{C3380CC4-5D6E-409C-BE32-E72D297353CC}">
              <c16:uniqueId val="{00000000-E68D-4E02-8218-3297F3D1DF7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35000</c:v>
                </c:pt>
                <c:pt idx="1">
                  <c:v>33333.333333333336</c:v>
                </c:pt>
              </c:numCache>
            </c:numRef>
          </c:val>
          <c:extLst>
            <c:ext xmlns:c16="http://schemas.microsoft.com/office/drawing/2014/chart" uri="{C3380CC4-5D6E-409C-BE32-E72D297353CC}">
              <c16:uniqueId val="{00000001-E68D-4E02-8218-3297F3D1DF7B}"/>
            </c:ext>
          </c:extLst>
        </c:ser>
        <c:dLbls>
          <c:showLegendKey val="0"/>
          <c:showVal val="0"/>
          <c:showCatName val="0"/>
          <c:showSerName val="0"/>
          <c:showPercent val="0"/>
          <c:showBubbleSize val="0"/>
        </c:dLbls>
        <c:gapWidth val="219"/>
        <c:overlap val="-27"/>
        <c:axId val="537124848"/>
        <c:axId val="537125208"/>
      </c:barChart>
      <c:catAx>
        <c:axId val="53712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5208"/>
        <c:crosses val="autoZero"/>
        <c:auto val="1"/>
        <c:lblAlgn val="ctr"/>
        <c:lblOffset val="100"/>
        <c:noMultiLvlLbl val="0"/>
      </c:catAx>
      <c:valAx>
        <c:axId val="537125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 More Than 10 Miles </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9B0E-4BCB-A7E5-A800E55D93A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 More Than 10 Miles </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9B0E-4BCB-A7E5-A800E55D93AB}"/>
            </c:ext>
          </c:extLst>
        </c:ser>
        <c:dLbls>
          <c:showLegendKey val="0"/>
          <c:showVal val="0"/>
          <c:showCatName val="0"/>
          <c:showSerName val="0"/>
          <c:showPercent val="0"/>
          <c:showBubbleSize val="0"/>
        </c:dLbls>
        <c:smooth val="0"/>
        <c:axId val="529722568"/>
        <c:axId val="529720768"/>
      </c:lineChart>
      <c:catAx>
        <c:axId val="529722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0768"/>
        <c:crosses val="autoZero"/>
        <c:auto val="1"/>
        <c:lblAlgn val="ctr"/>
        <c:lblOffset val="100"/>
        <c:noMultiLvlLbl val="0"/>
      </c:catAx>
      <c:valAx>
        <c:axId val="52972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2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403937445319335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4</c:v>
                </c:pt>
                <c:pt idx="1">
                  <c:v>3</c:v>
                </c:pt>
              </c:numCache>
            </c:numRef>
          </c:val>
          <c:smooth val="0"/>
          <c:extLst>
            <c:ext xmlns:c16="http://schemas.microsoft.com/office/drawing/2014/chart" uri="{C3380CC4-5D6E-409C-BE32-E72D297353CC}">
              <c16:uniqueId val="{00000000-4B58-4EF8-8781-A477273284E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12</c:v>
                </c:pt>
                <c:pt idx="1">
                  <c:v>1</c:v>
                </c:pt>
              </c:numCache>
            </c:numRef>
          </c:val>
          <c:smooth val="0"/>
          <c:extLst>
            <c:ext xmlns:c16="http://schemas.microsoft.com/office/drawing/2014/chart" uri="{C3380CC4-5D6E-409C-BE32-E72D297353CC}">
              <c16:uniqueId val="{00000001-4B58-4EF8-8781-A477273284EE}"/>
            </c:ext>
          </c:extLst>
        </c:ser>
        <c:dLbls>
          <c:showLegendKey val="0"/>
          <c:showVal val="0"/>
          <c:showCatName val="0"/>
          <c:showSerName val="0"/>
          <c:showPercent val="0"/>
          <c:showBubbleSize val="0"/>
        </c:dLbls>
        <c:marker val="1"/>
        <c:smooth val="0"/>
        <c:axId val="419791976"/>
        <c:axId val="346430680"/>
      </c:lineChart>
      <c:catAx>
        <c:axId val="419791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0680"/>
        <c:crosses val="autoZero"/>
        <c:auto val="1"/>
        <c:lblAlgn val="ctr"/>
        <c:lblOffset val="100"/>
        <c:noMultiLvlLbl val="0"/>
      </c:catAx>
      <c:valAx>
        <c:axId val="34643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9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403937445319335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4</c:v>
                </c:pt>
                <c:pt idx="1">
                  <c:v>3</c:v>
                </c:pt>
              </c:numCache>
            </c:numRef>
          </c:val>
          <c:smooth val="0"/>
          <c:extLst>
            <c:ext xmlns:c16="http://schemas.microsoft.com/office/drawing/2014/chart" uri="{C3380CC4-5D6E-409C-BE32-E72D297353CC}">
              <c16:uniqueId val="{00000000-33D1-4808-A936-37258444407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12</c:v>
                </c:pt>
                <c:pt idx="1">
                  <c:v>1</c:v>
                </c:pt>
              </c:numCache>
            </c:numRef>
          </c:val>
          <c:smooth val="0"/>
          <c:extLst>
            <c:ext xmlns:c16="http://schemas.microsoft.com/office/drawing/2014/chart" uri="{C3380CC4-5D6E-409C-BE32-E72D297353CC}">
              <c16:uniqueId val="{00000001-33D1-4808-A936-37258444407A}"/>
            </c:ext>
          </c:extLst>
        </c:ser>
        <c:dLbls>
          <c:showLegendKey val="0"/>
          <c:showVal val="0"/>
          <c:showCatName val="0"/>
          <c:showSerName val="0"/>
          <c:showPercent val="0"/>
          <c:showBubbleSize val="0"/>
        </c:dLbls>
        <c:marker val="1"/>
        <c:smooth val="0"/>
        <c:axId val="419791976"/>
        <c:axId val="346430680"/>
      </c:lineChart>
      <c:catAx>
        <c:axId val="419791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30680"/>
        <c:crosses val="autoZero"/>
        <c:auto val="1"/>
        <c:lblAlgn val="ctr"/>
        <c:lblOffset val="100"/>
        <c:noMultiLvlLbl val="0"/>
      </c:catAx>
      <c:valAx>
        <c:axId val="34643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9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66666.666666666672</c:v>
                </c:pt>
                <c:pt idx="1">
                  <c:v>22500</c:v>
                </c:pt>
              </c:numCache>
            </c:numRef>
          </c:val>
          <c:extLst>
            <c:ext xmlns:c16="http://schemas.microsoft.com/office/drawing/2014/chart" uri="{C3380CC4-5D6E-409C-BE32-E72D297353CC}">
              <c16:uniqueId val="{00000000-61EC-4D14-A893-CB7D74B80A8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35000</c:v>
                </c:pt>
                <c:pt idx="1">
                  <c:v>33333.333333333336</c:v>
                </c:pt>
              </c:numCache>
            </c:numRef>
          </c:val>
          <c:extLst>
            <c:ext xmlns:c16="http://schemas.microsoft.com/office/drawing/2014/chart" uri="{C3380CC4-5D6E-409C-BE32-E72D297353CC}">
              <c16:uniqueId val="{00000001-61EC-4D14-A893-CB7D74B80A85}"/>
            </c:ext>
          </c:extLst>
        </c:ser>
        <c:dLbls>
          <c:showLegendKey val="0"/>
          <c:showVal val="0"/>
          <c:showCatName val="0"/>
          <c:showSerName val="0"/>
          <c:showPercent val="0"/>
          <c:showBubbleSize val="0"/>
        </c:dLbls>
        <c:gapWidth val="219"/>
        <c:overlap val="-27"/>
        <c:axId val="537124848"/>
        <c:axId val="537125208"/>
      </c:barChart>
      <c:catAx>
        <c:axId val="53712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5208"/>
        <c:crosses val="autoZero"/>
        <c:auto val="1"/>
        <c:lblAlgn val="ctr"/>
        <c:lblOffset val="100"/>
        <c:noMultiLvlLbl val="0"/>
      </c:catAx>
      <c:valAx>
        <c:axId val="537125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 More Than 10 Miles </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145D-435D-8EE3-1FFD21F69DE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 More Than 10 Miles </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145D-435D-8EE3-1FFD21F69DEC}"/>
            </c:ext>
          </c:extLst>
        </c:ser>
        <c:dLbls>
          <c:showLegendKey val="0"/>
          <c:showVal val="0"/>
          <c:showCatName val="0"/>
          <c:showSerName val="0"/>
          <c:showPercent val="0"/>
          <c:showBubbleSize val="0"/>
        </c:dLbls>
        <c:smooth val="0"/>
        <c:axId val="529722568"/>
        <c:axId val="529720768"/>
      </c:lineChart>
      <c:catAx>
        <c:axId val="529722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0768"/>
        <c:crosses val="autoZero"/>
        <c:auto val="1"/>
        <c:lblAlgn val="ctr"/>
        <c:lblOffset val="100"/>
        <c:noMultiLvlLbl val="0"/>
      </c:catAx>
      <c:valAx>
        <c:axId val="52972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22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109537</xdr:colOff>
      <xdr:row>1</xdr:row>
      <xdr:rowOff>33337</xdr:rowOff>
    </xdr:from>
    <xdr:to>
      <xdr:col>11</xdr:col>
      <xdr:colOff>414337</xdr:colOff>
      <xdr:row>15</xdr:row>
      <xdr:rowOff>109537</xdr:rowOff>
    </xdr:to>
    <xdr:graphicFrame macro="">
      <xdr:nvGraphicFramePr>
        <xdr:cNvPr id="2" name="Chart 1">
          <a:extLst>
            <a:ext uri="{FF2B5EF4-FFF2-40B4-BE49-F238E27FC236}">
              <a16:creationId xmlns:a16="http://schemas.microsoft.com/office/drawing/2014/main" id="{65B5DCA0-47D3-8ECB-323D-991515E21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319087</xdr:colOff>
      <xdr:row>19</xdr:row>
      <xdr:rowOff>147637</xdr:rowOff>
    </xdr:from>
    <xdr:to>
      <xdr:col>12</xdr:col>
      <xdr:colOff>14287</xdr:colOff>
      <xdr:row>34</xdr:row>
      <xdr:rowOff>33337</xdr:rowOff>
    </xdr:to>
    <xdr:graphicFrame macro="">
      <xdr:nvGraphicFramePr>
        <xdr:cNvPr id="3" name="Chart 2">
          <a:extLst>
            <a:ext uri="{FF2B5EF4-FFF2-40B4-BE49-F238E27FC236}">
              <a16:creationId xmlns:a16="http://schemas.microsoft.com/office/drawing/2014/main" id="{E2AD8528-9BAA-F697-13D8-B665FE7C6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300037</xdr:colOff>
      <xdr:row>36</xdr:row>
      <xdr:rowOff>157162</xdr:rowOff>
    </xdr:from>
    <xdr:to>
      <xdr:col>11</xdr:col>
      <xdr:colOff>604837</xdr:colOff>
      <xdr:row>51</xdr:row>
      <xdr:rowOff>42862</xdr:rowOff>
    </xdr:to>
    <xdr:graphicFrame macro="">
      <xdr:nvGraphicFramePr>
        <xdr:cNvPr id="4" name="Chart 3">
          <a:extLst>
            <a:ext uri="{FF2B5EF4-FFF2-40B4-BE49-F238E27FC236}">
              <a16:creationId xmlns:a16="http://schemas.microsoft.com/office/drawing/2014/main" id="{CD208C26-A4D4-B689-AB90-C4B6D0BB7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442233</xdr:colOff>
      <xdr:row>6</xdr:row>
      <xdr:rowOff>17688</xdr:rowOff>
    </xdr:from>
    <xdr:to>
      <xdr:col>15</xdr:col>
      <xdr:colOff>22679</xdr:colOff>
      <xdr:row>20</xdr:row>
      <xdr:rowOff>124732</xdr:rowOff>
    </xdr:to>
    <xdr:graphicFrame macro="">
      <xdr:nvGraphicFramePr>
        <xdr:cNvPr id="3" name="Chart 2">
          <a:extLst>
            <a:ext uri="{FF2B5EF4-FFF2-40B4-BE49-F238E27FC236}">
              <a16:creationId xmlns:a16="http://schemas.microsoft.com/office/drawing/2014/main" id="{5FBA6700-E7D6-430D-ACAD-2F703849F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192768</xdr:colOff>
      <xdr:row>6</xdr:row>
      <xdr:rowOff>22679</xdr:rowOff>
    </xdr:from>
    <xdr:to>
      <xdr:col>8</xdr:col>
      <xdr:colOff>430440</xdr:colOff>
      <xdr:row>20</xdr:row>
      <xdr:rowOff>98879</xdr:rowOff>
    </xdr:to>
    <xdr:graphicFrame macro="">
      <xdr:nvGraphicFramePr>
        <xdr:cNvPr id="4" name="Chart 3">
          <a:extLst>
            <a:ext uri="{FF2B5EF4-FFF2-40B4-BE49-F238E27FC236}">
              <a16:creationId xmlns:a16="http://schemas.microsoft.com/office/drawing/2014/main" id="{58256764-99F9-425F-A7CA-B31B2EA7F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204106</xdr:colOff>
      <xdr:row>20</xdr:row>
      <xdr:rowOff>113393</xdr:rowOff>
    </xdr:from>
    <xdr:to>
      <xdr:col>15</xdr:col>
      <xdr:colOff>22677</xdr:colOff>
      <xdr:row>34</xdr:row>
      <xdr:rowOff>189593</xdr:rowOff>
    </xdr:to>
    <xdr:graphicFrame macro="">
      <xdr:nvGraphicFramePr>
        <xdr:cNvPr id="5" name="Chart 4">
          <a:extLst>
            <a:ext uri="{FF2B5EF4-FFF2-40B4-BE49-F238E27FC236}">
              <a16:creationId xmlns:a16="http://schemas.microsoft.com/office/drawing/2014/main" id="{8FBCA58D-A0E5-45FF-AF61-3FA5EAAB3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10887</xdr:rowOff>
    </xdr:from>
    <xdr:to>
      <xdr:col>2</xdr:col>
      <xdr:colOff>181427</xdr:colOff>
      <xdr:row>10</xdr:row>
      <xdr:rowOff>158751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05AE116-B56E-1377-95E3-2EEE3B4194F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7494"/>
              <a:ext cx="1406070" cy="918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56696</xdr:rowOff>
    </xdr:from>
    <xdr:to>
      <xdr:col>2</xdr:col>
      <xdr:colOff>192767</xdr:colOff>
      <xdr:row>27</xdr:row>
      <xdr:rowOff>136073</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E4FFA40-898A-20E5-9688-09A1227CBBC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33750"/>
              <a:ext cx="1417410" cy="2007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169636</xdr:rowOff>
    </xdr:from>
    <xdr:to>
      <xdr:col>2</xdr:col>
      <xdr:colOff>181428</xdr:colOff>
      <xdr:row>17</xdr:row>
      <xdr:rowOff>45357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43070C0-22CE-71BA-9F85-B544A1E46C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7315"/>
              <a:ext cx="1406071" cy="1225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6.890112962959" createdVersion="8" refreshedVersion="8" minRefreshableVersion="3" recordCount="1000" xr:uid="{012FC9ED-8FB2-46DC-B4CF-EAE15E91C6C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 More Than 10 Miles "/>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92688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69ED1-5C9B-4522-A939-A8CA37DB7694}"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2"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918F1-A499-40BE-A8E9-F3B6A64E159D}"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F49300-6AE8-4D4B-894A-932E50263040}"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24">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9A3559A-4D3E-4A21-8943-38F1A98593C6}" sourceName="Marital Status">
  <pivotTables>
    <pivotTable tabId="3" name="PivotTable1"/>
    <pivotTable tabId="3" name="PivotTable2"/>
    <pivotTable tabId="3" name="PivotTable3"/>
  </pivotTables>
  <data>
    <tabular pivotCacheId="39268885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D7D6B56-DC8D-4EA0-87E4-04355D63E400}" sourceName="Education">
  <pivotTables>
    <pivotTable tabId="3" name="PivotTable1"/>
    <pivotTable tabId="3" name="PivotTable2"/>
    <pivotTable tabId="3" name="PivotTable3"/>
  </pivotTables>
  <data>
    <tabular pivotCacheId="39268885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6488E-D359-4297-B3EF-B3D1B759D58F}" sourceName="Region">
  <pivotTables>
    <pivotTable tabId="3" name="PivotTable1"/>
    <pivotTable tabId="3" name="PivotTable2"/>
    <pivotTable tabId="3" name="PivotTable3"/>
  </pivotTables>
  <data>
    <tabular pivotCacheId="39268885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D62D518-85D3-4120-B09E-6F71EE038E5F}" cache="Slicer_Marital_Status" caption="Marital Status" rowHeight="241300"/>
  <slicer name="Education" xr10:uid="{4EE8DFFD-783E-46E4-9EBB-17E03A79623A}" cache="Slicer_Education" caption="Education" rowHeight="241300"/>
  <slicer name="Region" xr10:uid="{DE5C9CB1-1AB0-4AA6-B9F3-8A2A43B5F7E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7" sqref="J7"/>
    </sheetView>
  </sheetViews>
  <sheetFormatPr defaultColWidth="11.85546875" defaultRowHeight="15" x14ac:dyDescent="0.25"/>
  <cols>
    <col min="10" max="10" width="18.42578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F4A0F-B67E-447B-9392-167B1B0EDE52}">
  <dimension ref="A1:N1027"/>
  <sheetViews>
    <sheetView topLeftCell="B1" zoomScaleNormal="100" workbookViewId="0">
      <selection activeCell="M2" sqref="M2"/>
    </sheetView>
  </sheetViews>
  <sheetFormatPr defaultColWidth="11.85546875" defaultRowHeight="15" x14ac:dyDescent="0.25"/>
  <cols>
    <col min="2" max="2" width="19.7109375" customWidth="1"/>
    <col min="4" max="4" width="12.5703125" style="1" bestFit="1" customWidth="1"/>
    <col min="6" max="6" width="17.7109375" customWidth="1"/>
    <col min="7" max="7" width="15.7109375" customWidth="1"/>
    <col min="8" max="8" width="16.140625" customWidth="1"/>
    <col min="10" max="10" width="20.5703125" customWidth="1"/>
    <col min="13" max="13" width="16" customWidth="1"/>
    <col min="14" max="14" width="15.42578125"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row r="1002" spans="1:14" x14ac:dyDescent="0.25">
      <c r="M1002" t="str">
        <f t="shared" si="15"/>
        <v>Adolescent</v>
      </c>
    </row>
    <row r="1003" spans="1:14" x14ac:dyDescent="0.25">
      <c r="M1003" t="str">
        <f t="shared" si="15"/>
        <v>Adolescent</v>
      </c>
    </row>
    <row r="1004" spans="1:14" x14ac:dyDescent="0.25">
      <c r="M1004" t="str">
        <f t="shared" si="15"/>
        <v>Adolescent</v>
      </c>
    </row>
    <row r="1005" spans="1:14" x14ac:dyDescent="0.25">
      <c r="M1005" t="str">
        <f t="shared" si="15"/>
        <v>Adolescent</v>
      </c>
    </row>
    <row r="1006" spans="1:14" x14ac:dyDescent="0.25">
      <c r="M1006" t="str">
        <f t="shared" si="15"/>
        <v>Adolescent</v>
      </c>
    </row>
    <row r="1007" spans="1:14" x14ac:dyDescent="0.25">
      <c r="M1007" t="str">
        <f t="shared" si="15"/>
        <v>Adolescent</v>
      </c>
    </row>
    <row r="1008" spans="1:14" x14ac:dyDescent="0.25">
      <c r="M1008" t="str">
        <f t="shared" si="15"/>
        <v>Adolescent</v>
      </c>
    </row>
    <row r="1009" spans="13:13" x14ac:dyDescent="0.25">
      <c r="M1009" t="str">
        <f t="shared" si="15"/>
        <v>Adolescent</v>
      </c>
    </row>
    <row r="1010" spans="13:13" x14ac:dyDescent="0.25">
      <c r="M1010" t="str">
        <f t="shared" si="15"/>
        <v>Adolescent</v>
      </c>
    </row>
    <row r="1011" spans="13:13" x14ac:dyDescent="0.25">
      <c r="M1011" t="str">
        <f t="shared" si="15"/>
        <v>Adolescent</v>
      </c>
    </row>
    <row r="1012" spans="13:13" x14ac:dyDescent="0.25">
      <c r="M1012" t="str">
        <f t="shared" si="15"/>
        <v>Adolescent</v>
      </c>
    </row>
    <row r="1013" spans="13:13" x14ac:dyDescent="0.25">
      <c r="M1013" t="str">
        <f t="shared" si="15"/>
        <v>Adolescent</v>
      </c>
    </row>
    <row r="1014" spans="13:13" x14ac:dyDescent="0.25">
      <c r="M1014" t="str">
        <f t="shared" si="15"/>
        <v>Adolescent</v>
      </c>
    </row>
    <row r="1015" spans="13:13" x14ac:dyDescent="0.25">
      <c r="M1015" t="str">
        <f t="shared" si="15"/>
        <v>Adolescent</v>
      </c>
    </row>
    <row r="1016" spans="13:13" x14ac:dyDescent="0.25">
      <c r="M1016" t="str">
        <f t="shared" si="15"/>
        <v>Adolescent</v>
      </c>
    </row>
    <row r="1017" spans="13:13" x14ac:dyDescent="0.25">
      <c r="M1017" t="str">
        <f t="shared" si="15"/>
        <v>Adolescent</v>
      </c>
    </row>
    <row r="1018" spans="13:13" x14ac:dyDescent="0.25">
      <c r="M1018" t="str">
        <f t="shared" si="15"/>
        <v>Adolescent</v>
      </c>
    </row>
    <row r="1019" spans="13:13" x14ac:dyDescent="0.25">
      <c r="M1019" t="str">
        <f t="shared" si="15"/>
        <v>Adolescent</v>
      </c>
    </row>
    <row r="1020" spans="13:13" x14ac:dyDescent="0.25">
      <c r="M1020" t="str">
        <f t="shared" si="15"/>
        <v>Adolescent</v>
      </c>
    </row>
    <row r="1021" spans="13:13" x14ac:dyDescent="0.25">
      <c r="M1021" t="str">
        <f t="shared" si="15"/>
        <v>Adolescent</v>
      </c>
    </row>
    <row r="1022" spans="13:13" x14ac:dyDescent="0.25">
      <c r="M1022" t="str">
        <f t="shared" si="15"/>
        <v>Adolescent</v>
      </c>
    </row>
    <row r="1023" spans="13:13" x14ac:dyDescent="0.25">
      <c r="M1023" t="str">
        <f t="shared" si="15"/>
        <v>Adolescent</v>
      </c>
    </row>
    <row r="1024" spans="13:13" x14ac:dyDescent="0.25">
      <c r="M1024" t="str">
        <f t="shared" si="15"/>
        <v>Adolescent</v>
      </c>
    </row>
    <row r="1025" spans="13:13" x14ac:dyDescent="0.25">
      <c r="M1025" t="str">
        <f t="shared" si="15"/>
        <v>Adolescent</v>
      </c>
    </row>
    <row r="1026" spans="13:13" x14ac:dyDescent="0.25">
      <c r="M1026" t="str">
        <f t="shared" si="15"/>
        <v>Adolescent</v>
      </c>
    </row>
    <row r="1027" spans="13:13" x14ac:dyDescent="0.25">
      <c r="M1027" t="str">
        <f t="shared" ref="M1027" si="16">IF(L1027&gt;54,"Old",IF(L1027&gt;=31,"Middle Age",IF(L1027&lt;31,"Adolescent","Invalid")))</f>
        <v>Adolescent</v>
      </c>
    </row>
  </sheetData>
  <sheetProtection formatCells="0" formatColumns="0" formatRows="0" insertColumns="0" insertRows="0" insertHyperlinks="0" deleteColumns="0" deleteRows="0" sort="0" autoFilter="0" pivotTables="0"/>
  <autoFilter ref="A1:N1027" xr:uid="{76AF4A0F-B67E-447B-9392-167B1B0EDE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0937-861A-4660-BB91-D7B3EBD3712C}">
  <dimension ref="A1:D42"/>
  <sheetViews>
    <sheetView topLeftCell="A19" workbookViewId="0">
      <selection activeCell="I18" sqref="I1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43</v>
      </c>
      <c r="B1" s="3" t="s">
        <v>44</v>
      </c>
    </row>
    <row r="2" spans="1:4" x14ac:dyDescent="0.25">
      <c r="A2" s="3" t="s">
        <v>41</v>
      </c>
      <c r="B2" t="s">
        <v>18</v>
      </c>
      <c r="C2" t="s">
        <v>15</v>
      </c>
      <c r="D2" t="s">
        <v>42</v>
      </c>
    </row>
    <row r="3" spans="1:4" x14ac:dyDescent="0.25">
      <c r="A3" s="4" t="s">
        <v>39</v>
      </c>
      <c r="B3" s="5">
        <v>66666.666666666672</v>
      </c>
      <c r="C3" s="5">
        <v>35000</v>
      </c>
      <c r="D3" s="5">
        <v>48571.428571428572</v>
      </c>
    </row>
    <row r="4" spans="1:4" x14ac:dyDescent="0.25">
      <c r="A4" s="4" t="s">
        <v>38</v>
      </c>
      <c r="B4" s="5">
        <v>22500</v>
      </c>
      <c r="C4" s="5">
        <v>33333.333333333336</v>
      </c>
      <c r="D4" s="5">
        <v>30000</v>
      </c>
    </row>
    <row r="5" spans="1:4" x14ac:dyDescent="0.25">
      <c r="A5" s="4" t="s">
        <v>42</v>
      </c>
      <c r="B5" s="5">
        <v>41428.571428571428</v>
      </c>
      <c r="C5" s="5">
        <v>33846.153846153844</v>
      </c>
      <c r="D5" s="5">
        <v>36500</v>
      </c>
    </row>
    <row r="21" spans="1:4" x14ac:dyDescent="0.25">
      <c r="A21" s="3" t="s">
        <v>45</v>
      </c>
      <c r="B21" s="3" t="s">
        <v>44</v>
      </c>
    </row>
    <row r="22" spans="1:4" x14ac:dyDescent="0.25">
      <c r="A22" s="3" t="s">
        <v>41</v>
      </c>
      <c r="B22" t="s">
        <v>18</v>
      </c>
      <c r="C22" t="s">
        <v>15</v>
      </c>
      <c r="D22" t="s">
        <v>42</v>
      </c>
    </row>
    <row r="23" spans="1:4" x14ac:dyDescent="0.25">
      <c r="A23" s="4" t="s">
        <v>16</v>
      </c>
      <c r="B23" s="6">
        <v>3</v>
      </c>
      <c r="C23" s="6">
        <v>11</v>
      </c>
      <c r="D23" s="6">
        <v>14</v>
      </c>
    </row>
    <row r="24" spans="1:4" x14ac:dyDescent="0.25">
      <c r="A24" s="4" t="s">
        <v>26</v>
      </c>
      <c r="B24" s="6">
        <v>1</v>
      </c>
      <c r="C24" s="6">
        <v>2</v>
      </c>
      <c r="D24" s="6">
        <v>3</v>
      </c>
    </row>
    <row r="25" spans="1:4" x14ac:dyDescent="0.25">
      <c r="A25" s="4" t="s">
        <v>22</v>
      </c>
      <c r="B25" s="6">
        <v>1</v>
      </c>
      <c r="C25" s="6"/>
      <c r="D25" s="6">
        <v>1</v>
      </c>
    </row>
    <row r="26" spans="1:4" x14ac:dyDescent="0.25">
      <c r="A26" s="4" t="s">
        <v>46</v>
      </c>
      <c r="B26" s="6">
        <v>2</v>
      </c>
      <c r="C26" s="6"/>
      <c r="D26" s="6">
        <v>2</v>
      </c>
    </row>
    <row r="27" spans="1:4" x14ac:dyDescent="0.25">
      <c r="A27" s="4" t="s">
        <v>42</v>
      </c>
      <c r="B27" s="6">
        <v>7</v>
      </c>
      <c r="C27" s="6">
        <v>13</v>
      </c>
      <c r="D27" s="6">
        <v>20</v>
      </c>
    </row>
    <row r="38" spans="1:4" x14ac:dyDescent="0.25">
      <c r="A38" s="3" t="s">
        <v>45</v>
      </c>
      <c r="B38" s="3" t="s">
        <v>44</v>
      </c>
    </row>
    <row r="39" spans="1:4" x14ac:dyDescent="0.25">
      <c r="A39" s="3" t="s">
        <v>41</v>
      </c>
      <c r="B39" t="s">
        <v>18</v>
      </c>
      <c r="C39" t="s">
        <v>15</v>
      </c>
      <c r="D39" t="s">
        <v>42</v>
      </c>
    </row>
    <row r="40" spans="1:4" x14ac:dyDescent="0.25">
      <c r="A40" s="4" t="s">
        <v>47</v>
      </c>
      <c r="B40" s="6">
        <v>4</v>
      </c>
      <c r="C40" s="6">
        <v>12</v>
      </c>
      <c r="D40" s="6">
        <v>16</v>
      </c>
    </row>
    <row r="41" spans="1:4" x14ac:dyDescent="0.25">
      <c r="A41" s="4" t="s">
        <v>48</v>
      </c>
      <c r="B41" s="6">
        <v>3</v>
      </c>
      <c r="C41" s="6">
        <v>1</v>
      </c>
      <c r="D41" s="6">
        <v>4</v>
      </c>
    </row>
    <row r="42" spans="1:4" x14ac:dyDescent="0.25">
      <c r="A42" s="4" t="s">
        <v>42</v>
      </c>
      <c r="B42" s="6">
        <v>7</v>
      </c>
      <c r="C42" s="6">
        <v>13</v>
      </c>
      <c r="D42" s="6">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A503-7936-4894-886A-64F5BE9D7FEE}">
  <dimension ref="A1:O6"/>
  <sheetViews>
    <sheetView showGridLines="0" tabSelected="1" zoomScale="84" zoomScaleNormal="84" workbookViewId="0">
      <selection sqref="A1:O6"/>
    </sheetView>
  </sheetViews>
  <sheetFormatPr defaultRowHeight="15" x14ac:dyDescent="0.25"/>
  <sheetData>
    <row r="1" spans="1:15" x14ac:dyDescent="0.25">
      <c r="A1" s="7"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2025-11-05T15:35:47Z</dcterms:modified>
</cp:coreProperties>
</file>